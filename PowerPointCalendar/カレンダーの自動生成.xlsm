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E:\papa\MS Office\"/>
    </mc:Choice>
  </mc:AlternateContent>
  <xr:revisionPtr revIDLastSave="0" documentId="13_ncr:1_{662FC2B8-810D-49D6-A7C6-6F79035136CD}" xr6:coauthVersionLast="47" xr6:coauthVersionMax="47" xr10:uidLastSave="{00000000-0000-0000-0000-000000000000}"/>
  <bookViews>
    <workbookView xWindow="96" yWindow="204" windowWidth="16020" windowHeight="11628" xr2:uid="{00000000-000D-0000-FFFF-FFFF00000000}"/>
  </bookViews>
  <sheets>
    <sheet name="予定表" sheetId="2" r:id="rId1"/>
    <sheet name="設定" sheetId="1" r:id="rId2"/>
  </sheets>
  <definedNames>
    <definedName name="DaysInMonth">予定表!#REF!</definedName>
    <definedName name="Month">予定表!$B$2</definedName>
    <definedName name="Year">予定表!$B$1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D2" i="1"/>
  <c r="E2" i="2"/>
  <c r="E3" i="2" s="1"/>
  <c r="E4" i="2" l="1"/>
  <c r="G3" i="2"/>
  <c r="F3" i="2"/>
  <c r="F2" i="2"/>
  <c r="G2" i="2"/>
  <c r="E5" i="2" l="1"/>
  <c r="G4" i="2"/>
  <c r="F4" i="2"/>
  <c r="E6" i="2" l="1"/>
  <c r="G5" i="2"/>
  <c r="F5" i="2"/>
  <c r="E7" i="2" l="1"/>
  <c r="G6" i="2"/>
  <c r="F6" i="2"/>
  <c r="E8" i="2" l="1"/>
  <c r="G7" i="2"/>
  <c r="F7" i="2"/>
  <c r="E9" i="2" l="1"/>
  <c r="G8" i="2"/>
  <c r="F8" i="2"/>
  <c r="E10" i="2" l="1"/>
  <c r="G9" i="2"/>
  <c r="F9" i="2"/>
  <c r="E11" i="2" l="1"/>
  <c r="G10" i="2"/>
  <c r="F10" i="2"/>
  <c r="E12" i="2" l="1"/>
  <c r="G11" i="2"/>
  <c r="F11" i="2"/>
  <c r="E13" i="2" l="1"/>
  <c r="G12" i="2"/>
  <c r="F12" i="2"/>
  <c r="E14" i="2" l="1"/>
  <c r="G13" i="2"/>
  <c r="F13" i="2"/>
  <c r="E15" i="2" l="1"/>
  <c r="G14" i="2"/>
  <c r="F14" i="2"/>
  <c r="E16" i="2" l="1"/>
  <c r="G15" i="2"/>
  <c r="F15" i="2"/>
  <c r="E17" i="2" l="1"/>
  <c r="G16" i="2"/>
  <c r="F16" i="2"/>
  <c r="E18" i="2" l="1"/>
  <c r="G17" i="2"/>
  <c r="F17" i="2"/>
  <c r="E19" i="2" l="1"/>
  <c r="G18" i="2"/>
  <c r="F18" i="2"/>
  <c r="E20" i="2" l="1"/>
  <c r="G19" i="2"/>
  <c r="F19" i="2"/>
  <c r="E21" i="2" l="1"/>
  <c r="G20" i="2"/>
  <c r="F20" i="2"/>
  <c r="E22" i="2" l="1"/>
  <c r="G21" i="2"/>
  <c r="F21" i="2"/>
  <c r="E23" i="2" l="1"/>
  <c r="G22" i="2"/>
  <c r="F22" i="2"/>
  <c r="E24" i="2" l="1"/>
  <c r="G23" i="2"/>
  <c r="F23" i="2"/>
  <c r="E25" i="2" l="1"/>
  <c r="G24" i="2"/>
  <c r="F24" i="2"/>
  <c r="E26" i="2" l="1"/>
  <c r="G25" i="2"/>
  <c r="F25" i="2"/>
  <c r="E27" i="2" l="1"/>
  <c r="G26" i="2"/>
  <c r="F26" i="2"/>
  <c r="E28" i="2" l="1"/>
  <c r="G27" i="2"/>
  <c r="F27" i="2"/>
  <c r="E29" i="2" l="1"/>
  <c r="G28" i="2"/>
  <c r="F28" i="2"/>
  <c r="E30" i="2" l="1"/>
  <c r="G29" i="2"/>
  <c r="F29" i="2"/>
  <c r="E31" i="2" l="1"/>
  <c r="G30" i="2"/>
  <c r="F30" i="2"/>
  <c r="E32" i="2" l="1"/>
  <c r="G31" i="2"/>
  <c r="F31" i="2"/>
  <c r="G32" i="2" l="1"/>
  <c r="F32" i="2"/>
</calcChain>
</file>

<file path=xl/sharedStrings.xml><?xml version="1.0" encoding="utf-8"?>
<sst xmlns="http://schemas.openxmlformats.org/spreadsheetml/2006/main" count="96" uniqueCount="63">
  <si>
    <t>年を選択→</t>
    <rPh sb="0" eb="1">
      <t>トシ</t>
    </rPh>
    <rPh sb="2" eb="4">
      <t>センタク</t>
    </rPh>
    <phoneticPr fontId="1"/>
  </si>
  <si>
    <t>年</t>
    <rPh sb="0" eb="1">
      <t>ネン</t>
    </rPh>
    <phoneticPr fontId="1"/>
  </si>
  <si>
    <t>日付</t>
    <rPh sb="0" eb="2">
      <t>ヒヅケ</t>
    </rPh>
    <phoneticPr fontId="1"/>
  </si>
  <si>
    <t>日</t>
    <rPh sb="0" eb="1">
      <t>ヒ</t>
    </rPh>
    <phoneticPr fontId="1"/>
  </si>
  <si>
    <t>曜日</t>
    <rPh sb="0" eb="2">
      <t>ヨウビ</t>
    </rPh>
    <phoneticPr fontId="1"/>
  </si>
  <si>
    <t>メモ</t>
    <phoneticPr fontId="1"/>
  </si>
  <si>
    <t>月を選択→</t>
    <rPh sb="0" eb="1">
      <t>ツキ</t>
    </rPh>
    <rPh sb="2" eb="4">
      <t>センタク</t>
    </rPh>
    <phoneticPr fontId="1"/>
  </si>
  <si>
    <t>月</t>
    <rPh sb="0" eb="1">
      <t>ツキ</t>
    </rPh>
    <phoneticPr fontId="1"/>
  </si>
  <si>
    <t>祝日</t>
    <rPh sb="0" eb="2">
      <t>シュクジツ</t>
    </rPh>
    <phoneticPr fontId="1"/>
  </si>
  <si>
    <t>祝</t>
    <rPh sb="0" eb="1">
      <t>シュク</t>
    </rPh>
    <phoneticPr fontId="1"/>
  </si>
  <si>
    <t>左マージン</t>
    <rPh sb="0" eb="1">
      <t>ヒダリ</t>
    </rPh>
    <phoneticPr fontId="1"/>
  </si>
  <si>
    <t>ボックス幅</t>
    <rPh sb="4" eb="5">
      <t>ハバ</t>
    </rPh>
    <phoneticPr fontId="1"/>
  </si>
  <si>
    <t>曜日ボックス高さ</t>
    <rPh sb="0" eb="2">
      <t>ヨウビ</t>
    </rPh>
    <rPh sb="6" eb="7">
      <t>タカ</t>
    </rPh>
    <phoneticPr fontId="1"/>
  </si>
  <si>
    <t>日にちボックス高さ</t>
    <rPh sb="0" eb="1">
      <t>ヒ</t>
    </rPh>
    <rPh sb="7" eb="8">
      <t>タカ</t>
    </rPh>
    <phoneticPr fontId="1"/>
  </si>
  <si>
    <t>曜日ボックス枠線色</t>
    <rPh sb="0" eb="2">
      <t>ヨウビ</t>
    </rPh>
    <rPh sb="6" eb="9">
      <t>ワクセンイロ</t>
    </rPh>
    <phoneticPr fontId="1"/>
  </si>
  <si>
    <t>日にちボックス枠線色</t>
    <rPh sb="0" eb="1">
      <t>ヒ</t>
    </rPh>
    <rPh sb="7" eb="9">
      <t>ワクセン</t>
    </rPh>
    <rPh sb="9" eb="10">
      <t>イロ</t>
    </rPh>
    <phoneticPr fontId="1"/>
  </si>
  <si>
    <t>日にちボックス塗りつぶし色</t>
    <rPh sb="0" eb="1">
      <t>ヒ</t>
    </rPh>
    <rPh sb="7" eb="8">
      <t>ヌ</t>
    </rPh>
    <rPh sb="12" eb="13">
      <t>イロ</t>
    </rPh>
    <phoneticPr fontId="1"/>
  </si>
  <si>
    <t>曜日ボックス塗りつぶし色</t>
    <rPh sb="0" eb="2">
      <t>ヨウビ</t>
    </rPh>
    <rPh sb="6" eb="7">
      <t>ヌ</t>
    </rPh>
    <rPh sb="11" eb="12">
      <t>イロ</t>
    </rPh>
    <phoneticPr fontId="1"/>
  </si>
  <si>
    <t>MarginLeft</t>
    <phoneticPr fontId="1"/>
  </si>
  <si>
    <t>ボックス幅間の幅</t>
    <rPh sb="4" eb="5">
      <t>ハバ</t>
    </rPh>
    <rPh sb="5" eb="6">
      <t>カン</t>
    </rPh>
    <rPh sb="7" eb="8">
      <t>ハバ</t>
    </rPh>
    <phoneticPr fontId="1"/>
  </si>
  <si>
    <t>BoxWidth</t>
    <phoneticPr fontId="1"/>
  </si>
  <si>
    <t>Interval</t>
    <phoneticPr fontId="1"/>
  </si>
  <si>
    <t>DayBoxHeight</t>
    <phoneticPr fontId="1"/>
  </si>
  <si>
    <t>WeekBoxHeight</t>
    <phoneticPr fontId="1"/>
  </si>
  <si>
    <t>WeekBoxLineColor</t>
    <phoneticPr fontId="1"/>
  </si>
  <si>
    <t>WeekBoxFillColor</t>
    <phoneticPr fontId="1"/>
  </si>
  <si>
    <t>DayBoxLineColor</t>
    <phoneticPr fontId="1"/>
  </si>
  <si>
    <t>DayBoxFillColor</t>
    <phoneticPr fontId="1"/>
  </si>
  <si>
    <t>設定項目</t>
    <rPh sb="0" eb="4">
      <t>セッテイコウモク</t>
    </rPh>
    <phoneticPr fontId="1"/>
  </si>
  <si>
    <t>変数名</t>
    <rPh sb="0" eb="3">
      <t>ヘンスウメイ</t>
    </rPh>
    <phoneticPr fontId="1"/>
  </si>
  <si>
    <t>設定値</t>
    <rPh sb="0" eb="3">
      <t>セッテイチ</t>
    </rPh>
    <phoneticPr fontId="1"/>
  </si>
  <si>
    <t>説明</t>
    <rPh sb="0" eb="2">
      <t>セツメイ</t>
    </rPh>
    <phoneticPr fontId="1"/>
  </si>
  <si>
    <t>ポイント、1㎜=2.83465ポイント</t>
    <phoneticPr fontId="1"/>
  </si>
  <si>
    <t>ポイント</t>
    <phoneticPr fontId="1"/>
  </si>
  <si>
    <t>スライド幅</t>
    <rPh sb="4" eb="5">
      <t>ハバ</t>
    </rPh>
    <phoneticPr fontId="1"/>
  </si>
  <si>
    <t>スライド高さ</t>
    <rPh sb="4" eb="5">
      <t>タカ</t>
    </rPh>
    <phoneticPr fontId="1"/>
  </si>
  <si>
    <t>SlideWidth</t>
    <phoneticPr fontId="1"/>
  </si>
  <si>
    <t>SlideHeight</t>
    <phoneticPr fontId="1"/>
  </si>
  <si>
    <t>上マージン</t>
    <rPh sb="0" eb="1">
      <t>ウエ</t>
    </rPh>
    <phoneticPr fontId="1"/>
  </si>
  <si>
    <t>MarginTop</t>
    <phoneticPr fontId="1"/>
  </si>
  <si>
    <t>#A9D08E</t>
  </si>
  <si>
    <t>#548235</t>
  </si>
  <si>
    <t>#E2EFDA</t>
    <phoneticPr fontId="1"/>
  </si>
  <si>
    <t>A9D08E</t>
    <phoneticPr fontId="1"/>
  </si>
  <si>
    <t>Value</t>
    <phoneticPr fontId="1"/>
  </si>
  <si>
    <t>Color</t>
    <phoneticPr fontId="1"/>
  </si>
  <si>
    <t>テスト用の文字列</t>
    <rPh sb="3" eb="4">
      <t>ヨウ</t>
    </rPh>
    <rPh sb="5" eb="8">
      <t>モジレツ</t>
    </rPh>
    <phoneticPr fontId="1"/>
  </si>
  <si>
    <t>TestString</t>
    <phoneticPr fontId="1"/>
  </si>
  <si>
    <t>Text</t>
    <phoneticPr fontId="1"/>
  </si>
  <si>
    <t>あいう   かきく</t>
    <phoneticPr fontId="1"/>
  </si>
  <si>
    <t>データタイプ</t>
    <phoneticPr fontId="1"/>
  </si>
  <si>
    <t>休館日</t>
    <rPh sb="0" eb="3">
      <t>キュウカンビ</t>
    </rPh>
    <phoneticPr fontId="1"/>
  </si>
  <si>
    <t>広報誌発行日</t>
    <rPh sb="0" eb="3">
      <t>コウホウシ</t>
    </rPh>
    <rPh sb="3" eb="6">
      <t>ハッコウビ</t>
    </rPh>
    <phoneticPr fontId="1"/>
  </si>
  <si>
    <t>残業禁止日</t>
    <rPh sb="0" eb="2">
      <t>ザンギョウ</t>
    </rPh>
    <rPh sb="2" eb="4">
      <t>キンシ</t>
    </rPh>
    <rPh sb="4" eb="5">
      <t>ビ</t>
    </rPh>
    <phoneticPr fontId="1"/>
  </si>
  <si>
    <t>中間報告日</t>
    <rPh sb="0" eb="5">
      <t>チュウカンホウコクビ</t>
    </rPh>
    <phoneticPr fontId="1"/>
  </si>
  <si>
    <t>9:00朝礼</t>
    <rPh sb="4" eb="6">
      <t>チョウレイ</t>
    </rPh>
    <phoneticPr fontId="1"/>
  </si>
  <si>
    <t>13:00中間報告会</t>
    <rPh sb="5" eb="10">
      <t>チュウカンホウコクカイ</t>
    </rPh>
    <phoneticPr fontId="1"/>
  </si>
  <si>
    <t>月末締日</t>
    <rPh sb="0" eb="2">
      <t>ゲツマツ</t>
    </rPh>
    <rPh sb="2" eb="4">
      <t>シメビ</t>
    </rPh>
    <rPh sb="3" eb="4">
      <t>ビ</t>
    </rPh>
    <phoneticPr fontId="1"/>
  </si>
  <si>
    <t>13:00月末報告会</t>
    <rPh sb="5" eb="7">
      <t>ガツマツ</t>
    </rPh>
    <rPh sb="7" eb="9">
      <t>ホウコク</t>
    </rPh>
    <rPh sb="9" eb="10">
      <t>カイ</t>
    </rPh>
    <phoneticPr fontId="1"/>
  </si>
  <si>
    <t>給与支払い日</t>
    <rPh sb="0" eb="4">
      <t>キュウヨシハラ</t>
    </rPh>
    <rPh sb="5" eb="6">
      <t>ビ</t>
    </rPh>
    <phoneticPr fontId="1"/>
  </si>
  <si>
    <t>懇親会</t>
    <rPh sb="0" eb="3">
      <t>コンシンカイ</t>
    </rPh>
    <phoneticPr fontId="1"/>
  </si>
  <si>
    <t>15:00営業会議</t>
    <rPh sb="5" eb="9">
      <t>エイギョウカイギ</t>
    </rPh>
    <phoneticPr fontId="1"/>
  </si>
  <si>
    <t>10:00役員会議</t>
    <rPh sb="5" eb="9">
      <t>ヤクインカイギ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</si>
</sst>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&quot;月&quot;d&quot;日&quot;;@"/>
    <numFmt numFmtId="177" formatCode="0_);[Red]\(0\)"/>
  </numFmts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E2EFDA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1" xfId="0" applyFill="1" applyBorder="1" applyAlignment="1">
      <alignment horizontal="right"/>
    </xf>
    <xf numFmtId="0" fontId="0" fillId="0" borderId="1" xfId="0" applyBorder="1"/>
    <xf numFmtId="0" fontId="0" fillId="2" borderId="0" xfId="0" applyFill="1"/>
    <xf numFmtId="176" fontId="0" fillId="2" borderId="1" xfId="0" applyNumberFormat="1" applyFill="1" applyBorder="1" applyAlignment="1">
      <alignment horizontal="center"/>
    </xf>
    <xf numFmtId="177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2" borderId="0" xfId="0" applyFill="1" applyAlignment="1">
      <alignment horizontal="right"/>
    </xf>
    <xf numFmtId="20" fontId="0" fillId="0" borderId="1" xfId="0" applyNumberFormat="1" applyBorder="1" applyAlignment="1">
      <alignment horizontal="left"/>
    </xf>
    <xf numFmtId="176" fontId="0" fillId="2" borderId="0" xfId="0" applyNumberFormat="1" applyFill="1" applyAlignment="1">
      <alignment horizontal="center"/>
    </xf>
    <xf numFmtId="177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</cellXfs>
  <cellStyles count="1">
    <cellStyle name="標準" xfId="0" builtinId="0"/>
  </cellStyles>
  <dxfs count="2">
    <dxf>
      <font>
        <color rgb="FF0070C0"/>
      </font>
    </dxf>
    <dxf>
      <font>
        <color rgb="FFFF0000"/>
      </font>
    </dxf>
  </dxfs>
  <tableStyles count="0" defaultTableStyle="TableStyleMedium2" defaultPivotStyle="PivotStyleLight16"/>
  <colors>
    <mruColors>
      <color rgb="FFE2EFDA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062CE-C25D-4227-9AE3-172E6D4CB67C}">
  <sheetPr codeName="Sheet2"/>
  <dimension ref="A1:M32"/>
  <sheetViews>
    <sheetView tabSelected="1" topLeftCell="B1" workbookViewId="0">
      <selection activeCell="B10" sqref="B10"/>
    </sheetView>
  </sheetViews>
  <sheetFormatPr defaultColWidth="9" defaultRowHeight="18"/>
  <cols>
    <col min="1" max="1" width="15.5" style="3" customWidth="1"/>
    <col min="2" max="2" width="7.69921875" style="3" customWidth="1"/>
    <col min="3" max="3" width="4.59765625" style="9" customWidth="1"/>
    <col min="4" max="4" width="3.3984375" style="3" customWidth="1"/>
    <col min="5" max="5" width="8.8984375" style="11" customWidth="1"/>
    <col min="6" max="6" width="5.5" style="12" customWidth="1"/>
    <col min="7" max="8" width="5.5" style="13" customWidth="1"/>
    <col min="9" max="9" width="16.69921875" style="14" customWidth="1"/>
    <col min="10" max="13" width="15.3984375" style="14" customWidth="1"/>
    <col min="14" max="16384" width="9" style="3"/>
  </cols>
  <sheetData>
    <row r="1" spans="1:13">
      <c r="A1" s="1" t="s">
        <v>0</v>
      </c>
      <c r="B1" s="2">
        <v>2025</v>
      </c>
      <c r="C1" s="1" t="s">
        <v>1</v>
      </c>
      <c r="E1" s="4" t="s">
        <v>2</v>
      </c>
      <c r="F1" s="5" t="s">
        <v>3</v>
      </c>
      <c r="G1" s="6" t="s">
        <v>4</v>
      </c>
      <c r="H1" s="6" t="s">
        <v>8</v>
      </c>
      <c r="I1" s="7" t="s">
        <v>5</v>
      </c>
      <c r="J1" s="7"/>
      <c r="K1" s="7"/>
      <c r="L1" s="7"/>
      <c r="M1" s="7"/>
    </row>
    <row r="2" spans="1:13">
      <c r="A2" s="1" t="s">
        <v>6</v>
      </c>
      <c r="B2" s="2">
        <v>5</v>
      </c>
      <c r="C2" s="1" t="s">
        <v>7</v>
      </c>
      <c r="E2" s="4">
        <f>DATE(Year,Month,1)</f>
        <v>45778</v>
      </c>
      <c r="F2" s="5">
        <f>DAY(E2)</f>
        <v>1</v>
      </c>
      <c r="G2" s="6" t="str">
        <f>TEXT(E2,"aaa")</f>
        <v>木</v>
      </c>
      <c r="H2" s="6"/>
      <c r="I2" s="8" t="s">
        <v>52</v>
      </c>
      <c r="J2" s="8" t="s">
        <v>55</v>
      </c>
      <c r="K2" s="8" t="s">
        <v>62</v>
      </c>
      <c r="L2" s="8"/>
      <c r="M2" s="8"/>
    </row>
    <row r="3" spans="1:13">
      <c r="E3" s="4">
        <f>E2+1</f>
        <v>45779</v>
      </c>
      <c r="F3" s="5">
        <f t="shared" ref="F3:F29" si="0">DAY(E3)</f>
        <v>2</v>
      </c>
      <c r="G3" s="6" t="str">
        <f t="shared" ref="G3:G32" si="1">TEXT(E3,"aaa")</f>
        <v>金</v>
      </c>
      <c r="H3" s="6"/>
      <c r="I3" s="8"/>
      <c r="J3" s="8"/>
      <c r="K3" s="10"/>
      <c r="L3" s="10" t="s">
        <v>61</v>
      </c>
      <c r="M3" s="10"/>
    </row>
    <row r="4" spans="1:13">
      <c r="E4" s="4">
        <f t="shared" ref="E4:E29" si="2">E3+1</f>
        <v>45780</v>
      </c>
      <c r="F4" s="5">
        <f t="shared" si="0"/>
        <v>3</v>
      </c>
      <c r="G4" s="6" t="str">
        <f t="shared" si="1"/>
        <v>土</v>
      </c>
      <c r="H4" s="6" t="s">
        <v>9</v>
      </c>
      <c r="I4" s="8"/>
      <c r="J4" s="8"/>
      <c r="K4" s="8"/>
      <c r="L4" s="8"/>
      <c r="M4" s="8"/>
    </row>
    <row r="5" spans="1:13">
      <c r="E5" s="4">
        <f t="shared" si="2"/>
        <v>45781</v>
      </c>
      <c r="F5" s="5">
        <f t="shared" si="0"/>
        <v>4</v>
      </c>
      <c r="G5" s="6" t="str">
        <f t="shared" si="1"/>
        <v>日</v>
      </c>
      <c r="H5" s="6"/>
      <c r="I5" s="8"/>
      <c r="J5" s="8"/>
      <c r="K5" s="10"/>
      <c r="L5" s="10"/>
      <c r="M5" s="10"/>
    </row>
    <row r="6" spans="1:13">
      <c r="E6" s="4">
        <f t="shared" si="2"/>
        <v>45782</v>
      </c>
      <c r="F6" s="5">
        <f t="shared" si="0"/>
        <v>5</v>
      </c>
      <c r="G6" s="6" t="str">
        <f t="shared" si="1"/>
        <v>月</v>
      </c>
      <c r="H6" s="6" t="s">
        <v>9</v>
      </c>
      <c r="I6" s="8"/>
      <c r="J6" s="8" t="s">
        <v>55</v>
      </c>
      <c r="K6" s="10"/>
      <c r="L6" s="10"/>
      <c r="M6" s="10"/>
    </row>
    <row r="7" spans="1:13">
      <c r="E7" s="4">
        <f t="shared" si="2"/>
        <v>45783</v>
      </c>
      <c r="F7" s="5">
        <f t="shared" si="0"/>
        <v>6</v>
      </c>
      <c r="G7" s="6" t="str">
        <f t="shared" si="1"/>
        <v>火</v>
      </c>
      <c r="H7" s="6" t="s">
        <v>9</v>
      </c>
      <c r="I7" s="8"/>
      <c r="J7" s="8"/>
      <c r="K7" s="10"/>
      <c r="L7" s="10"/>
      <c r="M7" s="10"/>
    </row>
    <row r="8" spans="1:13">
      <c r="E8" s="4">
        <f t="shared" si="2"/>
        <v>45784</v>
      </c>
      <c r="F8" s="5">
        <f t="shared" si="0"/>
        <v>7</v>
      </c>
      <c r="G8" s="6" t="str">
        <f t="shared" si="1"/>
        <v>水</v>
      </c>
      <c r="H8" s="6"/>
      <c r="I8" s="8" t="s">
        <v>53</v>
      </c>
      <c r="J8" s="8"/>
      <c r="K8" s="10"/>
      <c r="L8" s="10"/>
      <c r="M8" s="10"/>
    </row>
    <row r="9" spans="1:13">
      <c r="E9" s="4">
        <f t="shared" si="2"/>
        <v>45785</v>
      </c>
      <c r="F9" s="5">
        <f t="shared" si="0"/>
        <v>8</v>
      </c>
      <c r="G9" s="6" t="str">
        <f t="shared" si="1"/>
        <v>木</v>
      </c>
      <c r="H9" s="6"/>
      <c r="I9" s="8"/>
      <c r="J9" s="8" t="s">
        <v>55</v>
      </c>
      <c r="K9" s="8"/>
      <c r="L9" s="8"/>
      <c r="M9" s="8"/>
    </row>
    <row r="10" spans="1:13">
      <c r="E10" s="4">
        <f t="shared" si="2"/>
        <v>45786</v>
      </c>
      <c r="F10" s="5">
        <f t="shared" si="0"/>
        <v>9</v>
      </c>
      <c r="G10" s="6" t="str">
        <f t="shared" si="1"/>
        <v>金</v>
      </c>
      <c r="H10" s="6"/>
      <c r="I10" s="8"/>
      <c r="J10" s="8"/>
      <c r="K10" s="10"/>
      <c r="L10" s="10" t="s">
        <v>61</v>
      </c>
      <c r="M10" s="10"/>
    </row>
    <row r="11" spans="1:13">
      <c r="E11" s="4">
        <f t="shared" si="2"/>
        <v>45787</v>
      </c>
      <c r="F11" s="5">
        <f t="shared" si="0"/>
        <v>10</v>
      </c>
      <c r="G11" s="6" t="str">
        <f t="shared" si="1"/>
        <v>土</v>
      </c>
      <c r="H11" s="6"/>
      <c r="I11" s="8"/>
      <c r="J11" s="8"/>
      <c r="K11" s="8"/>
      <c r="L11" s="8"/>
      <c r="M11" s="8"/>
    </row>
    <row r="12" spans="1:13">
      <c r="E12" s="4">
        <f t="shared" si="2"/>
        <v>45788</v>
      </c>
      <c r="F12" s="5">
        <f t="shared" si="0"/>
        <v>11</v>
      </c>
      <c r="G12" s="6" t="str">
        <f t="shared" si="1"/>
        <v>日</v>
      </c>
      <c r="H12" s="6"/>
      <c r="I12" s="8" t="s">
        <v>51</v>
      </c>
      <c r="J12" s="8"/>
      <c r="K12" s="10"/>
      <c r="L12" s="10"/>
      <c r="M12" s="10"/>
    </row>
    <row r="13" spans="1:13">
      <c r="E13" s="4">
        <f t="shared" si="2"/>
        <v>45789</v>
      </c>
      <c r="F13" s="5">
        <f t="shared" si="0"/>
        <v>12</v>
      </c>
      <c r="G13" s="6" t="str">
        <f t="shared" si="1"/>
        <v>月</v>
      </c>
      <c r="H13" s="6"/>
      <c r="I13" s="8"/>
      <c r="J13" s="8" t="s">
        <v>55</v>
      </c>
      <c r="K13" s="10"/>
      <c r="L13" s="10"/>
      <c r="M13" s="10"/>
    </row>
    <row r="14" spans="1:13">
      <c r="E14" s="4">
        <f t="shared" si="2"/>
        <v>45790</v>
      </c>
      <c r="F14" s="5">
        <f t="shared" si="0"/>
        <v>13</v>
      </c>
      <c r="G14" s="6" t="str">
        <f t="shared" si="1"/>
        <v>火</v>
      </c>
      <c r="H14" s="6"/>
      <c r="I14" s="8"/>
      <c r="J14" s="8"/>
      <c r="K14" s="8"/>
      <c r="L14" s="8"/>
      <c r="M14" s="8"/>
    </row>
    <row r="15" spans="1:13">
      <c r="E15" s="4">
        <f t="shared" si="2"/>
        <v>45791</v>
      </c>
      <c r="F15" s="5">
        <f t="shared" si="0"/>
        <v>14</v>
      </c>
      <c r="G15" s="6" t="str">
        <f t="shared" si="1"/>
        <v>水</v>
      </c>
      <c r="H15" s="6"/>
      <c r="I15" s="8" t="s">
        <v>53</v>
      </c>
      <c r="J15" s="8"/>
      <c r="K15" s="10"/>
      <c r="L15" s="10"/>
      <c r="M15" s="10"/>
    </row>
    <row r="16" spans="1:13">
      <c r="E16" s="4">
        <f t="shared" si="2"/>
        <v>45792</v>
      </c>
      <c r="F16" s="5">
        <f t="shared" si="0"/>
        <v>15</v>
      </c>
      <c r="G16" s="6" t="str">
        <f t="shared" si="1"/>
        <v>木</v>
      </c>
      <c r="H16" s="6"/>
      <c r="I16" s="8" t="s">
        <v>54</v>
      </c>
      <c r="J16" s="8" t="s">
        <v>55</v>
      </c>
      <c r="K16" s="10" t="s">
        <v>56</v>
      </c>
      <c r="L16" s="10"/>
      <c r="M16" s="10"/>
    </row>
    <row r="17" spans="5:13">
      <c r="E17" s="4">
        <f t="shared" si="2"/>
        <v>45793</v>
      </c>
      <c r="F17" s="5">
        <f t="shared" si="0"/>
        <v>16</v>
      </c>
      <c r="G17" s="6" t="str">
        <f t="shared" si="1"/>
        <v>金</v>
      </c>
      <c r="H17" s="6"/>
      <c r="I17" s="8"/>
      <c r="J17" s="8"/>
      <c r="K17" s="10"/>
      <c r="L17" s="10" t="s">
        <v>61</v>
      </c>
      <c r="M17" s="8"/>
    </row>
    <row r="18" spans="5:13">
      <c r="E18" s="4">
        <f t="shared" si="2"/>
        <v>45794</v>
      </c>
      <c r="F18" s="5">
        <f t="shared" si="0"/>
        <v>17</v>
      </c>
      <c r="G18" s="6" t="str">
        <f t="shared" si="1"/>
        <v>土</v>
      </c>
      <c r="H18" s="6"/>
      <c r="I18" s="8"/>
      <c r="J18" s="8"/>
      <c r="K18" s="8"/>
      <c r="L18" s="10"/>
      <c r="M18" s="10"/>
    </row>
    <row r="19" spans="5:13">
      <c r="E19" s="4">
        <f t="shared" si="2"/>
        <v>45795</v>
      </c>
      <c r="F19" s="5">
        <f t="shared" si="0"/>
        <v>18</v>
      </c>
      <c r="G19" s="6" t="str">
        <f t="shared" si="1"/>
        <v>日</v>
      </c>
      <c r="H19" s="6"/>
      <c r="I19" s="8"/>
      <c r="J19" s="8"/>
      <c r="K19" s="8"/>
      <c r="L19" s="8"/>
      <c r="M19" s="8"/>
    </row>
    <row r="20" spans="5:13">
      <c r="E20" s="4">
        <f t="shared" si="2"/>
        <v>45796</v>
      </c>
      <c r="F20" s="5">
        <f t="shared" si="0"/>
        <v>19</v>
      </c>
      <c r="G20" s="6" t="str">
        <f t="shared" si="1"/>
        <v>月</v>
      </c>
      <c r="H20" s="6"/>
      <c r="I20" s="8"/>
      <c r="J20" s="8" t="s">
        <v>55</v>
      </c>
      <c r="K20" s="10"/>
      <c r="L20" s="10"/>
      <c r="M20" s="10"/>
    </row>
    <row r="21" spans="5:13">
      <c r="E21" s="4">
        <f t="shared" si="2"/>
        <v>45797</v>
      </c>
      <c r="F21" s="5">
        <f t="shared" si="0"/>
        <v>20</v>
      </c>
      <c r="G21" s="6" t="str">
        <f t="shared" si="1"/>
        <v>火</v>
      </c>
      <c r="H21" s="6"/>
      <c r="I21" s="8"/>
      <c r="J21" s="8"/>
      <c r="K21" s="10"/>
      <c r="L21" s="10"/>
      <c r="M21" s="10"/>
    </row>
    <row r="22" spans="5:13">
      <c r="E22" s="4">
        <f t="shared" si="2"/>
        <v>45798</v>
      </c>
      <c r="F22" s="5">
        <f t="shared" si="0"/>
        <v>21</v>
      </c>
      <c r="G22" s="6" t="str">
        <f t="shared" si="1"/>
        <v>水</v>
      </c>
      <c r="H22" s="6"/>
      <c r="I22" s="8" t="s">
        <v>53</v>
      </c>
      <c r="J22" s="8"/>
      <c r="K22" s="10"/>
      <c r="L22" s="8"/>
      <c r="M22" s="8"/>
    </row>
    <row r="23" spans="5:13">
      <c r="E23" s="4">
        <f t="shared" si="2"/>
        <v>45799</v>
      </c>
      <c r="F23" s="5">
        <f t="shared" si="0"/>
        <v>22</v>
      </c>
      <c r="G23" s="6" t="str">
        <f t="shared" si="1"/>
        <v>木</v>
      </c>
      <c r="H23" s="6"/>
      <c r="I23" s="8"/>
      <c r="J23" s="8" t="s">
        <v>55</v>
      </c>
      <c r="K23" s="10"/>
      <c r="L23" s="10"/>
      <c r="M23" s="10"/>
    </row>
    <row r="24" spans="5:13">
      <c r="E24" s="4">
        <f t="shared" si="2"/>
        <v>45800</v>
      </c>
      <c r="F24" s="5">
        <f t="shared" si="0"/>
        <v>23</v>
      </c>
      <c r="G24" s="6" t="str">
        <f t="shared" si="1"/>
        <v>金</v>
      </c>
      <c r="H24" s="6"/>
      <c r="I24" s="8" t="s">
        <v>59</v>
      </c>
      <c r="J24" s="8"/>
      <c r="K24" s="10"/>
      <c r="L24" s="10" t="s">
        <v>61</v>
      </c>
      <c r="M24" s="10" t="s">
        <v>60</v>
      </c>
    </row>
    <row r="25" spans="5:13">
      <c r="E25" s="4">
        <f t="shared" si="2"/>
        <v>45801</v>
      </c>
      <c r="F25" s="5">
        <f t="shared" si="0"/>
        <v>24</v>
      </c>
      <c r="G25" s="6" t="str">
        <f t="shared" si="1"/>
        <v>土</v>
      </c>
      <c r="H25" s="6"/>
      <c r="I25" s="8"/>
      <c r="J25" s="8"/>
      <c r="K25" s="10"/>
      <c r="L25" s="10"/>
      <c r="M25" s="10"/>
    </row>
    <row r="26" spans="5:13">
      <c r="E26" s="4">
        <f t="shared" si="2"/>
        <v>45802</v>
      </c>
      <c r="F26" s="5">
        <f t="shared" si="0"/>
        <v>25</v>
      </c>
      <c r="G26" s="6" t="str">
        <f t="shared" si="1"/>
        <v>日</v>
      </c>
      <c r="H26" s="6"/>
      <c r="I26" s="8"/>
      <c r="J26" s="8"/>
      <c r="K26" s="10"/>
      <c r="L26" s="10"/>
      <c r="M26" s="10"/>
    </row>
    <row r="27" spans="5:13">
      <c r="E27" s="4">
        <f t="shared" si="2"/>
        <v>45803</v>
      </c>
      <c r="F27" s="5">
        <f t="shared" si="0"/>
        <v>26</v>
      </c>
      <c r="G27" s="6" t="str">
        <f t="shared" si="1"/>
        <v>月</v>
      </c>
      <c r="H27" s="6"/>
      <c r="I27" s="8"/>
      <c r="J27" s="8" t="s">
        <v>55</v>
      </c>
      <c r="K27" s="10"/>
      <c r="L27" s="10"/>
      <c r="M27" s="10"/>
    </row>
    <row r="28" spans="5:13">
      <c r="E28" s="4">
        <f t="shared" si="2"/>
        <v>45804</v>
      </c>
      <c r="F28" s="5">
        <f t="shared" si="0"/>
        <v>27</v>
      </c>
      <c r="G28" s="6" t="str">
        <f t="shared" si="1"/>
        <v>火</v>
      </c>
      <c r="H28" s="6"/>
      <c r="I28" s="8"/>
      <c r="J28" s="8"/>
      <c r="K28" s="8"/>
      <c r="L28" s="8"/>
      <c r="M28" s="8"/>
    </row>
    <row r="29" spans="5:13">
      <c r="E29" s="4">
        <f t="shared" si="2"/>
        <v>45805</v>
      </c>
      <c r="F29" s="5">
        <f t="shared" si="0"/>
        <v>28</v>
      </c>
      <c r="G29" s="6" t="str">
        <f t="shared" si="1"/>
        <v>水</v>
      </c>
      <c r="H29" s="6"/>
      <c r="I29" s="8" t="s">
        <v>53</v>
      </c>
      <c r="J29" s="8"/>
      <c r="K29" s="10"/>
      <c r="L29" s="10"/>
      <c r="M29" s="10"/>
    </row>
    <row r="30" spans="5:13">
      <c r="E30" s="4">
        <f>IF(DAY(E29+1)=1,"",E29+1)</f>
        <v>45806</v>
      </c>
      <c r="F30" s="5">
        <f>IF(E30="","",DAY(E30))</f>
        <v>29</v>
      </c>
      <c r="G30" s="6" t="str">
        <f t="shared" si="1"/>
        <v>木</v>
      </c>
      <c r="H30" s="6"/>
      <c r="I30" s="8"/>
      <c r="J30" s="8" t="s">
        <v>55</v>
      </c>
      <c r="K30" s="10"/>
      <c r="L30" s="10"/>
      <c r="M30" s="10"/>
    </row>
    <row r="31" spans="5:13">
      <c r="E31" s="4">
        <f>IF(E30="","",IF(DAY(E30+1)=1,"",E30+1))</f>
        <v>45807</v>
      </c>
      <c r="F31" s="5">
        <f t="shared" ref="F31:F32" si="3">IF(E31="","",DAY(E31))</f>
        <v>30</v>
      </c>
      <c r="G31" s="6" t="str">
        <f t="shared" si="1"/>
        <v>金</v>
      </c>
      <c r="H31" s="6"/>
      <c r="I31" s="8"/>
      <c r="J31" s="8"/>
      <c r="K31" s="10"/>
      <c r="L31" s="10" t="s">
        <v>61</v>
      </c>
      <c r="M31" s="10"/>
    </row>
    <row r="32" spans="5:13">
      <c r="E32" s="4">
        <f>IF(E31="","",IF(DAY(E31+1)=1,"",E31+1))</f>
        <v>45808</v>
      </c>
      <c r="F32" s="5">
        <f t="shared" si="3"/>
        <v>31</v>
      </c>
      <c r="G32" s="6" t="str">
        <f t="shared" si="1"/>
        <v>土</v>
      </c>
      <c r="H32" s="6"/>
      <c r="I32" s="8" t="s">
        <v>57</v>
      </c>
      <c r="J32" s="8"/>
      <c r="K32" s="8" t="s">
        <v>58</v>
      </c>
      <c r="L32" s="8"/>
      <c r="M32" s="8"/>
    </row>
  </sheetData>
  <phoneticPr fontId="1"/>
  <conditionalFormatting sqref="G2:I32">
    <cfRule type="cellIs" dxfId="1" priority="1" operator="equal">
      <formula>"日"</formula>
    </cfRule>
    <cfRule type="cellIs" dxfId="0" priority="2" operator="equal">
      <formula>"土"</formula>
    </cfRule>
  </conditionalFormatting>
  <dataValidations count="2">
    <dataValidation type="list" allowBlank="1" showInputMessage="1" showErrorMessage="1" sqref="B2" xr:uid="{D94BE774-C0A9-4052-A3B9-4FBB74ED10D9}">
      <formula1>"1,2,3,4,5,6,7,8,9,10,11,12"</formula1>
    </dataValidation>
    <dataValidation type="list" allowBlank="1" showInputMessage="1" showErrorMessage="1" sqref="B1" xr:uid="{E5C3856B-F740-4EE6-875F-DE5F15FFB035}">
      <formula1>"2024,2025,2026,2027,2028,2029,2030,2031,2032,2033,2034,2035"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4"/>
  <sheetViews>
    <sheetView workbookViewId="0">
      <selection activeCell="O15" sqref="O15"/>
    </sheetView>
  </sheetViews>
  <sheetFormatPr defaultRowHeight="18"/>
  <cols>
    <col min="1" max="1" width="32.8984375" customWidth="1"/>
    <col min="2" max="3" width="18.796875" customWidth="1"/>
    <col min="4" max="4" width="14.3984375" customWidth="1"/>
  </cols>
  <sheetData>
    <row r="1" spans="1:5">
      <c r="A1" t="s">
        <v>28</v>
      </c>
      <c r="B1" t="s">
        <v>29</v>
      </c>
      <c r="C1" t="s">
        <v>50</v>
      </c>
      <c r="D1" t="s">
        <v>30</v>
      </c>
      <c r="E1" t="s">
        <v>31</v>
      </c>
    </row>
    <row r="2" spans="1:5">
      <c r="A2" t="s">
        <v>34</v>
      </c>
      <c r="B2" t="s">
        <v>36</v>
      </c>
      <c r="C2" t="s">
        <v>44</v>
      </c>
      <c r="D2">
        <f>210 * 2.83465</f>
        <v>595.27649999999994</v>
      </c>
      <c r="E2" t="s">
        <v>32</v>
      </c>
    </row>
    <row r="3" spans="1:5">
      <c r="A3" t="s">
        <v>35</v>
      </c>
      <c r="B3" t="s">
        <v>37</v>
      </c>
      <c r="C3" t="s">
        <v>44</v>
      </c>
      <c r="D3">
        <f>297 * 2.83465</f>
        <v>841.89104999999995</v>
      </c>
      <c r="E3" t="s">
        <v>33</v>
      </c>
    </row>
    <row r="4" spans="1:5">
      <c r="A4" t="s">
        <v>10</v>
      </c>
      <c r="B4" t="s">
        <v>18</v>
      </c>
      <c r="C4" t="s">
        <v>44</v>
      </c>
      <c r="D4">
        <v>10</v>
      </c>
      <c r="E4" t="s">
        <v>33</v>
      </c>
    </row>
    <row r="5" spans="1:5">
      <c r="A5" t="s">
        <v>38</v>
      </c>
      <c r="B5" t="s">
        <v>39</v>
      </c>
      <c r="C5" t="s">
        <v>44</v>
      </c>
      <c r="D5">
        <v>60</v>
      </c>
      <c r="E5" t="s">
        <v>33</v>
      </c>
    </row>
    <row r="6" spans="1:5">
      <c r="A6" t="s">
        <v>11</v>
      </c>
      <c r="B6" t="s">
        <v>20</v>
      </c>
      <c r="C6" t="s">
        <v>44</v>
      </c>
      <c r="D6">
        <v>80</v>
      </c>
      <c r="E6" t="s">
        <v>33</v>
      </c>
    </row>
    <row r="7" spans="1:5">
      <c r="A7" t="s">
        <v>19</v>
      </c>
      <c r="B7" t="s">
        <v>21</v>
      </c>
      <c r="C7" t="s">
        <v>44</v>
      </c>
      <c r="D7">
        <v>3</v>
      </c>
      <c r="E7" t="s">
        <v>33</v>
      </c>
    </row>
    <row r="8" spans="1:5">
      <c r="A8" t="s">
        <v>12</v>
      </c>
      <c r="B8" t="s">
        <v>23</v>
      </c>
      <c r="C8" t="s">
        <v>44</v>
      </c>
      <c r="D8">
        <v>15</v>
      </c>
      <c r="E8" t="s">
        <v>33</v>
      </c>
    </row>
    <row r="9" spans="1:5">
      <c r="A9" t="s">
        <v>13</v>
      </c>
      <c r="B9" t="s">
        <v>22</v>
      </c>
      <c r="C9" t="s">
        <v>44</v>
      </c>
      <c r="D9">
        <v>80</v>
      </c>
      <c r="E9" t="s">
        <v>33</v>
      </c>
    </row>
    <row r="10" spans="1:5">
      <c r="A10" t="s">
        <v>14</v>
      </c>
      <c r="B10" t="s">
        <v>24</v>
      </c>
      <c r="C10" t="s">
        <v>45</v>
      </c>
      <c r="D10" s="17" t="s">
        <v>43</v>
      </c>
    </row>
    <row r="11" spans="1:5">
      <c r="A11" t="s">
        <v>17</v>
      </c>
      <c r="B11" t="s">
        <v>25</v>
      </c>
      <c r="C11" t="s">
        <v>45</v>
      </c>
      <c r="D11" s="15" t="s">
        <v>40</v>
      </c>
    </row>
    <row r="12" spans="1:5">
      <c r="A12" t="s">
        <v>15</v>
      </c>
      <c r="B12" t="s">
        <v>26</v>
      </c>
      <c r="C12" t="s">
        <v>45</v>
      </c>
      <c r="D12" s="16" t="s">
        <v>41</v>
      </c>
    </row>
    <row r="13" spans="1:5">
      <c r="A13" t="s">
        <v>16</v>
      </c>
      <c r="B13" t="s">
        <v>27</v>
      </c>
      <c r="C13" t="s">
        <v>45</v>
      </c>
      <c r="D13" s="18" t="s">
        <v>42</v>
      </c>
    </row>
    <row r="14" spans="1:5">
      <c r="A14" t="s">
        <v>46</v>
      </c>
      <c r="B14" t="s">
        <v>47</v>
      </c>
      <c r="C14" t="s">
        <v>48</v>
      </c>
      <c r="D14" t="s">
        <v>49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予定表</vt:lpstr>
      <vt:lpstr>設定</vt:lpstr>
      <vt:lpstr>Month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W08N-240501</dc:creator>
  <cp:lastModifiedBy>宏秋 小峯</cp:lastModifiedBy>
  <dcterms:created xsi:type="dcterms:W3CDTF">2015-06-05T18:19:34Z</dcterms:created>
  <dcterms:modified xsi:type="dcterms:W3CDTF">2025-03-21T03:09:09Z</dcterms:modified>
</cp:coreProperties>
</file>